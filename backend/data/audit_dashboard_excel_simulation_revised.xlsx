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evan\OneDrive\Documents\GitHub\audit-management-dashboard\backend\data\"/>
    </mc:Choice>
  </mc:AlternateContent>
  <xr:revisionPtr revIDLastSave="0" documentId="13_ncr:1_{A34B5213-A9EC-4AA5-AB9B-DF8FEF4162D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vidence_Data" sheetId="1" r:id="rId1"/>
    <sheet name="Reference" sheetId="2" r:id="rId2"/>
    <sheet name="Summary" sheetId="3" r:id="rId3"/>
    <sheet name="Backend_Mapping" sheetId="4" r:id="rId4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3" l="1"/>
  <c r="E7" i="3"/>
  <c r="B7" i="3"/>
  <c r="E6" i="3"/>
  <c r="B6" i="3"/>
  <c r="E5" i="3"/>
  <c r="B5" i="3"/>
  <c r="E4" i="3"/>
  <c r="B4" i="3"/>
</calcChain>
</file>

<file path=xl/sharedStrings.xml><?xml version="1.0" encoding="utf-8"?>
<sst xmlns="http://schemas.openxmlformats.org/spreadsheetml/2006/main" count="293" uniqueCount="144">
  <si>
    <t>Document</t>
  </si>
  <si>
    <t>Standards</t>
  </si>
  <si>
    <t>Clause</t>
  </si>
  <si>
    <t>Location</t>
  </si>
  <si>
    <t>Evidence status</t>
  </si>
  <si>
    <t>Compliance result</t>
  </si>
  <si>
    <t>Due date</t>
  </si>
  <si>
    <t>Document URL</t>
  </si>
  <si>
    <t>Firewall Configuration Review</t>
  </si>
  <si>
    <t>ISMS</t>
  </si>
  <si>
    <t>8.1 Operational planning and control</t>
  </si>
  <si>
    <t>United States</t>
  </si>
  <si>
    <t>Accepted</t>
  </si>
  <si>
    <t>Compliant</t>
  </si>
  <si>
    <t>https://contoso.sharepoint.com/sites/AuditEvidence/Documents/firewall-configuration-review.pdf</t>
  </si>
  <si>
    <t>Change Management Log</t>
  </si>
  <si>
    <t>ITSM</t>
  </si>
  <si>
    <t>https://contoso.sharepoint.com/sites/AuditEvidence/Documents/change-management-log.pdf</t>
  </si>
  <si>
    <t>Vulnerability Scan Report</t>
  </si>
  <si>
    <t>Singapore</t>
  </si>
  <si>
    <t>Partially compliant</t>
  </si>
  <si>
    <t>https://contoso.sharepoint.com/sites/AuditEvidence/Documents/vulnerability-scan-report.pdf</t>
  </si>
  <si>
    <t>Access Control Review</t>
  </si>
  <si>
    <t>5.15 Access control</t>
  </si>
  <si>
    <t>Indonesia</t>
  </si>
  <si>
    <t>Pending Review</t>
  </si>
  <si>
    <t>Not assessed</t>
  </si>
  <si>
    <t>https://contoso.sharepoint.com/sites/AuditEvidence/Documents/access-control-review.pdf</t>
  </si>
  <si>
    <t>Incident Management Report</t>
  </si>
  <si>
    <t>8.2 Incident management</t>
  </si>
  <si>
    <t>https://contoso.sharepoint.com/sites/AuditEvidence/Documents/incident-management-report.pdf</t>
  </si>
  <si>
    <t>Business Continuity Test Result</t>
  </si>
  <si>
    <t>BCMS</t>
  </si>
  <si>
    <t>8.5 Exercise programme</t>
  </si>
  <si>
    <t>Missing</t>
  </si>
  <si>
    <t>Non-compliant</t>
  </si>
  <si>
    <t>https://contoso.sharepoint.com/sites/AuditEvidence/Documents/business-continuity-test-result.pdf</t>
  </si>
  <si>
    <t>Supplier Evaluation Report</t>
  </si>
  <si>
    <t>QMS</t>
  </si>
  <si>
    <t>8.4 Control of externally provided processes</t>
  </si>
  <si>
    <t>Australia</t>
  </si>
  <si>
    <t>https://contoso.sharepoint.com/sites/AuditEvidence/Documents/supplier-evaluation-report.pdf</t>
  </si>
  <si>
    <t>Internal Audit Report Q2</t>
  </si>
  <si>
    <t>9.2 Internal audit</t>
  </si>
  <si>
    <t>https://contoso.sharepoint.com/sites/AuditEvidence/Documents/internal-audit-report-q2.pdf</t>
  </si>
  <si>
    <t>Risk Treatment Plan</t>
  </si>
  <si>
    <t>6.1 Actions to address risks and opportunities</t>
  </si>
  <si>
    <t>United Kingdom</t>
  </si>
  <si>
    <t>https://contoso.sharepoint.com/sites/AuditEvidence/Documents/risk-treatment-plan.pdf</t>
  </si>
  <si>
    <t>Service Availability Report</t>
  </si>
  <si>
    <t>8.6 Service availability management</t>
  </si>
  <si>
    <t>Malaysia</t>
  </si>
  <si>
    <t>https://contoso.sharepoint.com/sites/AuditEvidence/Documents/service-availability-report.pdf</t>
  </si>
  <si>
    <t>Information Security Policy</t>
  </si>
  <si>
    <t>5.2 Policy</t>
  </si>
  <si>
    <t>https://contoso.sharepoint.com/sites/AuditEvidence/Documents/information-security-policy.pdf</t>
  </si>
  <si>
    <t>Corrective Action Log</t>
  </si>
  <si>
    <t>10.2 Nonconformity and corrective action</t>
  </si>
  <si>
    <t>Germany</t>
  </si>
  <si>
    <t>https://contoso.sharepoint.com/sites/AuditEvidence/Documents/corrective-action-log.pdf</t>
  </si>
  <si>
    <t>Disaster Recovery Procedure</t>
  </si>
  <si>
    <t>8.4 Business continuity plans and procedures</t>
  </si>
  <si>
    <t>https://contoso.sharepoint.com/sites/AuditEvidence/Documents/disaster-recovery-procedure.pdf</t>
  </si>
  <si>
    <t>Anti-Bribery Training Record</t>
  </si>
  <si>
    <t>ABMS</t>
  </si>
  <si>
    <t>7.3 Awareness and training</t>
  </si>
  <si>
    <t>https://contoso.sharepoint.com/sites/AuditEvidence/Documents/anti-bribery-training-record.pdf</t>
  </si>
  <si>
    <t>Asset Inventory</t>
  </si>
  <si>
    <t>5.9 Inventory of information and other associated assets</t>
  </si>
  <si>
    <t>Japan</t>
  </si>
  <si>
    <t>Rejected</t>
  </si>
  <si>
    <t>https://contoso.sharepoint.com/sites/AuditEvidence/Documents/asset-inventory.pdf</t>
  </si>
  <si>
    <t>Problem Management Register</t>
  </si>
  <si>
    <t>8.2 Problem management</t>
  </si>
  <si>
    <t>https://contoso.sharepoint.com/sites/AuditEvidence/Documents/problem-management-register.pdf</t>
  </si>
  <si>
    <t>Management Review Minutes</t>
  </si>
  <si>
    <t>9.3 Management review</t>
  </si>
  <si>
    <t>https://contoso.sharepoint.com/sites/AuditEvidence/Documents/management-review-minutes.pdf</t>
  </si>
  <si>
    <t>Recovery Time Objective Assessment</t>
  </si>
  <si>
    <t>8.2 Business impact analysis and risk assessment</t>
  </si>
  <si>
    <t>https://contoso.sharepoint.com/sites/AuditEvidence/Documents/recovery-time-objective-assessment.pdf</t>
  </si>
  <si>
    <t>Gift and Hospitality Register</t>
  </si>
  <si>
    <t>8.7 Gifts, hospitality, donations and similar benefits</t>
  </si>
  <si>
    <t>https://contoso.sharepoint.com/sites/AuditEvidence/Documents/gift-and-hospitality-register.pdf</t>
  </si>
  <si>
    <t>Security Awareness Attendance</t>
  </si>
  <si>
    <t>6.3 Information security awareness, education and training</t>
  </si>
  <si>
    <t>https://contoso.sharepoint.com/sites/AuditEvidence/Documents/security-awareness-attendance.pdf</t>
  </si>
  <si>
    <t>Service Level Agreement Review</t>
  </si>
  <si>
    <t>8.3 Service level management</t>
  </si>
  <si>
    <t>https://contoso.sharepoint.com/sites/AuditEvidence/Documents/service-level-agreement-review.pdf</t>
  </si>
  <si>
    <t>Customer Satisfaction Survey</t>
  </si>
  <si>
    <t>9.1 Monitoring, measurement, analysis and evaluation</t>
  </si>
  <si>
    <t>https://contoso.sharepoint.com/sites/AuditEvidence/Documents/customer-satisfaction-survey.pdf</t>
  </si>
  <si>
    <t>Crisis Communication Plan</t>
  </si>
  <si>
    <t>8.4 Warning and communication</t>
  </si>
  <si>
    <t>https://contoso.sharepoint.com/sites/AuditEvidence/Documents/crisis-communication-plan.pdf</t>
  </si>
  <si>
    <t>Due Diligence Checklist</t>
  </si>
  <si>
    <t>8.2 Due diligence</t>
  </si>
  <si>
    <t>https://contoso.sharepoint.com/sites/AuditEvidence/Documents/due-diligence-checklist.pdf</t>
  </si>
  <si>
    <t>Penetration Test Report</t>
  </si>
  <si>
    <t>8.8 Management of technical vulnerabilities</t>
  </si>
  <si>
    <t>https://contoso.sharepoint.com/sites/AuditEvidence/Documents/penetration-test-report.pdf</t>
  </si>
  <si>
    <t>Release Management Record</t>
  </si>
  <si>
    <t>8.5 Release management</t>
  </si>
  <si>
    <t>https://contoso.sharepoint.com/sites/AuditEvidence/Documents/release-management-record.pdf</t>
  </si>
  <si>
    <t>Quality Objective Monitoring</t>
  </si>
  <si>
    <t>6.2 Quality objectives and planning to achieve them</t>
  </si>
  <si>
    <t>https://contoso.sharepoint.com/sites/AuditEvidence/Documents/quality-objective-monitoring.pdf</t>
  </si>
  <si>
    <t>Business Impact Analysis</t>
  </si>
  <si>
    <t>https://contoso.sharepoint.com/sites/AuditEvidence/Documents/business-impact-analysis.pdf</t>
  </si>
  <si>
    <t>Conflict of Interest Declaration</t>
  </si>
  <si>
    <t>5.3 Organizational roles, responsibilities and authorities</t>
  </si>
  <si>
    <t>https://contoso.sharepoint.com/sites/AuditEvidence/Documents/conflict-of-interest-declaration.pdf</t>
  </si>
  <si>
    <t>Privileged Access Review</t>
  </si>
  <si>
    <t>8.2 Privileged access rights</t>
  </si>
  <si>
    <t>https://contoso.sharepoint.com/sites/AuditEvidence/Documents/privileged-access-review.pdf</t>
  </si>
  <si>
    <t>Evidence Dashboard Simulation</t>
  </si>
  <si>
    <t>Metric</t>
  </si>
  <si>
    <t>Value</t>
  </si>
  <si>
    <t>Count</t>
  </si>
  <si>
    <t>Documents</t>
  </si>
  <si>
    <t>Excel column</t>
  </si>
  <si>
    <t>JSON field</t>
  </si>
  <si>
    <t>Used by dashboard</t>
  </si>
  <si>
    <t>Notes</t>
  </si>
  <si>
    <t>document</t>
  </si>
  <si>
    <t>Document/evidence display name.</t>
  </si>
  <si>
    <t>standards</t>
  </si>
  <si>
    <t>For example ISMS or ITSM.</t>
  </si>
  <si>
    <t>clause</t>
  </si>
  <si>
    <t>Store code and description together for this simulation.</t>
  </si>
  <si>
    <t>location</t>
  </si>
  <si>
    <t>Country or office location, not a file URL.</t>
  </si>
  <si>
    <t>evidenceStatus</t>
  </si>
  <si>
    <t>Accepted, Pending Review, Rejected, or Missing.</t>
  </si>
  <si>
    <t>complianceResult</t>
  </si>
  <si>
    <t>Compliant, Partially compliant, Non-compliant, or Not assessed.</t>
  </si>
  <si>
    <t>dueDate</t>
  </si>
  <si>
    <t>Read as an actual Excel date.</t>
  </si>
  <si>
    <t>documentUrl</t>
  </si>
  <si>
    <t>ACTION → Open</t>
  </si>
  <si>
    <t>Frontend renders the Open action from this URL.</t>
  </si>
  <si>
    <t>ITSMS</t>
  </si>
  <si>
    <t>ENMS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</si>
</sst>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"/>
  </numFmts>
  <fonts count="6">
    <font>
      <sz val="11"/>
      <name val="Carlito"/>
    </font>
    <font>
      <b/>
      <sz val="11"/>
      <color rgb="FFFFFFFF"/>
      <name val="Carlito"/>
    </font>
    <font>
      <b/>
      <sz val="11"/>
      <color rgb="FF264C77"/>
      <name val="Carlito"/>
    </font>
    <font>
      <b/>
      <sz val="11"/>
      <color rgb="FF0F172A"/>
      <name val="Carlito"/>
    </font>
    <font>
      <sz val="11"/>
      <color rgb="FF183B66"/>
      <name val="Carlito"/>
    </font>
    <font>
      <b/>
      <sz val="16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83B66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4" fontId="4" fillId="0" borderId="2" xfId="0" applyNumberFormat="1" applyFont="1" applyBorder="1" applyAlignment="1">
      <alignment vertical="center" wrapText="1"/>
    </xf>
    <xf numFmtId="164" fontId="0" fillId="0" borderId="0" xfId="0" applyNumberFormat="1"/>
    <xf numFmtId="0" fontId="2" fillId="4" borderId="3" xfId="0" applyFont="1" applyFill="1" applyBorder="1"/>
    <xf numFmtId="0" fontId="2" fillId="4" borderId="4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9">
    <dxf>
      <font>
        <b/>
        <color rgb="FFC25A00"/>
      </font>
      <fill>
        <patternFill patternType="solid">
          <bgColor rgb="FFFFF7E0"/>
        </patternFill>
      </fill>
    </dxf>
    <dxf>
      <font>
        <b/>
        <color rgb="FF475569"/>
      </font>
      <fill>
        <patternFill patternType="solid">
          <bgColor rgb="FFF1F5F9"/>
        </patternFill>
      </fill>
    </dxf>
    <dxf>
      <font>
        <b/>
        <color rgb="FFB42318"/>
      </font>
      <fill>
        <patternFill patternType="solid">
          <bgColor rgb="FFFDECEC"/>
        </patternFill>
      </fill>
    </dxf>
    <dxf>
      <font>
        <b/>
        <color rgb="FFC25A00"/>
      </font>
      <fill>
        <patternFill patternType="solid">
          <bgColor rgb="FFFFF7E0"/>
        </patternFill>
      </fill>
    </dxf>
    <dxf>
      <font>
        <b/>
        <color rgb="FF027A48"/>
      </font>
      <fill>
        <patternFill patternType="solid">
          <bgColor rgb="FFECFDF3"/>
        </patternFill>
      </fill>
    </dxf>
    <dxf>
      <font>
        <b/>
        <color rgb="FFB42318"/>
      </font>
      <fill>
        <patternFill patternType="solid">
          <bgColor rgb="FFFDE8E8"/>
        </patternFill>
      </fill>
    </dxf>
    <dxf>
      <font>
        <b/>
        <color rgb="FFB42318"/>
      </font>
      <fill>
        <patternFill patternType="solid">
          <bgColor rgb="FFFDE8E8"/>
        </patternFill>
      </fill>
    </dxf>
    <dxf>
      <font>
        <b/>
        <color rgb="FF9A6700"/>
      </font>
      <fill>
        <patternFill patternType="solid">
          <bgColor rgb="FFFFF4D6"/>
        </patternFill>
      </fill>
    </dxf>
    <dxf>
      <font>
        <b/>
        <color rgb="FF007A55"/>
      </font>
      <fill>
        <patternFill patternType="solid">
          <bgColor rgb="FFE6F8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Compliance Result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Summary!$D$4:$D$7</c:f>
              <c:strCache>
                <c:ptCount val="4"/>
                <c:pt idx="0">
                  <c:v>Compliant</c:v>
                </c:pt>
                <c:pt idx="1">
                  <c:v>Partially compliant</c:v>
                </c:pt>
                <c:pt idx="2">
                  <c:v>Non-compliant</c:v>
                </c:pt>
                <c:pt idx="3">
                  <c:v>Not assessed</c:v>
                </c:pt>
              </c:strCache>
            </c:strRef>
          </c:cat>
          <c:val>
            <c:numRef>
              <c:f>Summary!$E$4:$E$7</c:f>
              <c:numCache>
                <c:formatCode>General</c:formatCode>
                <c:ptCount val="4"/>
                <c:pt idx="0">
                  <c:v>13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02-4970-9684-77A4B87E9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idenceDashboardTable" displayName="EvidenceDashboardTable" ref="A1:I31">
  <tableColumns count="9">
    <tableColumn id="9" xr3:uid="{00000000-0010-0000-0000-000009000000}" name="Document ID"/>
    <tableColumn id="1" xr3:uid="{00000000-0010-0000-0000-000001000000}" name="Document"/>
    <tableColumn id="2" xr3:uid="{00000000-0010-0000-0000-000002000000}" name="Standards"/>
    <tableColumn id="3" xr3:uid="{00000000-0010-0000-0000-000003000000}" name="Clause"/>
    <tableColumn id="4" xr3:uid="{00000000-0010-0000-0000-000004000000}" name="Location"/>
    <tableColumn id="5" xr3:uid="{00000000-0010-0000-0000-000005000000}" name="Evidence status"/>
    <tableColumn id="6" xr3:uid="{00000000-0010-0000-0000-000006000000}" name="Compliance result"/>
    <tableColumn id="7" xr3:uid="{00000000-0010-0000-0000-000007000000}" name="Due date"/>
    <tableColumn id="8" xr3:uid="{00000000-0010-0000-0000-000008000000}" name="Document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tabSelected="1" workbookViewId="0">
      <selection activeCell="B9" sqref="B9"/>
    </sheetView>
  </sheetViews>
  <sheetFormatPr defaultRowHeight="14"/>
  <cols>
    <col min="1" max="1" width="14" customWidth="1"/>
    <col min="2" max="2" width="34" customWidth="1"/>
    <col min="3" max="3" width="14" customWidth="1"/>
    <col min="4" max="4" width="43" customWidth="1"/>
    <col min="5" max="5" width="20" customWidth="1"/>
    <col min="6" max="6" width="19" customWidth="1"/>
    <col min="7" max="7" width="23" customWidth="1"/>
    <col min="8" max="8" width="17" customWidth="1"/>
    <col min="9" max="9" width="55" customWidth="1"/>
  </cols>
  <sheetData>
    <row r="1" spans="1:9" ht="21.4" customHeight="1">
      <c r="A1" s="2" t="inlineStr">
        <is>
          <t>Document ID</t>
        </is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ht="28">
      <c r="A2" s="4" t="inlineStr">
        <is>
          <t>DOC-0001</t>
        </is>
      </c>
      <c r="B2" s="4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8">
        <v>46162</v>
      </c>
      <c r="I2" s="6" t="s">
        <v>14</v>
      </c>
    </row>
    <row r="3" spans="1:9" ht="28">
      <c r="A3" s="4" t="inlineStr">
        <is>
          <t>DOC-0002</t>
        </is>
      </c>
      <c r="B3" s="4" t="s">
        <v>15</v>
      </c>
      <c r="C3" s="6" t="s">
        <v>142</v>
      </c>
      <c r="D3" s="6" t="s">
        <v>10</v>
      </c>
      <c r="E3" s="6" t="s">
        <v>11</v>
      </c>
      <c r="F3" s="6" t="s">
        <v>12</v>
      </c>
      <c r="G3" s="6" t="s">
        <v>13</v>
      </c>
      <c r="H3" s="8">
        <v>46174</v>
      </c>
      <c r="I3" s="6" t="s">
        <v>17</v>
      </c>
    </row>
    <row r="4" spans="1:9" ht="28">
      <c r="A4" s="4" t="inlineStr">
        <is>
          <t>DOC-0003</t>
        </is>
      </c>
      <c r="B4" s="4" t="s">
        <v>18</v>
      </c>
      <c r="C4" s="6" t="s">
        <v>9</v>
      </c>
      <c r="D4" s="6" t="s">
        <v>10</v>
      </c>
      <c r="E4" s="6" t="s">
        <v>19</v>
      </c>
      <c r="F4" s="6" t="s">
        <v>12</v>
      </c>
      <c r="G4" s="6" t="s">
        <v>20</v>
      </c>
      <c r="H4" s="8">
        <v>46188</v>
      </c>
      <c r="I4" s="6" t="s">
        <v>21</v>
      </c>
    </row>
    <row r="5" spans="1:9" ht="28">
      <c r="A5" s="4" t="inlineStr">
        <is>
          <t>DOC-0004</t>
        </is>
      </c>
      <c r="B5" s="4" t="s">
        <v>22</v>
      </c>
      <c r="C5" s="6" t="s">
        <v>9</v>
      </c>
      <c r="D5" s="6" t="s">
        <v>23</v>
      </c>
      <c r="E5" s="6" t="s">
        <v>24</v>
      </c>
      <c r="F5" s="6" t="s">
        <v>25</v>
      </c>
      <c r="G5" s="6" t="s">
        <v>26</v>
      </c>
      <c r="H5" s="8">
        <v>46193</v>
      </c>
      <c r="I5" s="6" t="s">
        <v>27</v>
      </c>
    </row>
    <row r="6" spans="1:9" ht="28">
      <c r="A6" s="4" t="inlineStr">
        <is>
          <t>DOC-0005</t>
        </is>
      </c>
      <c r="B6" s="4" t="s">
        <v>28</v>
      </c>
      <c r="C6" s="6" t="s">
        <v>142</v>
      </c>
      <c r="D6" s="6" t="s">
        <v>29</v>
      </c>
      <c r="E6" s="6" t="s">
        <v>19</v>
      </c>
      <c r="F6" s="6" t="s">
        <v>12</v>
      </c>
      <c r="G6" s="6" t="s">
        <v>13</v>
      </c>
      <c r="H6" s="8">
        <v>46202</v>
      </c>
      <c r="I6" s="6" t="s">
        <v>30</v>
      </c>
    </row>
    <row r="7" spans="1:9" ht="28">
      <c r="A7" s="4" t="inlineStr">
        <is>
          <t>DOC-0006</t>
        </is>
      </c>
      <c r="B7" s="4" t="s">
        <v>31</v>
      </c>
      <c r="C7" s="6" t="s">
        <v>32</v>
      </c>
      <c r="D7" s="6" t="s">
        <v>33</v>
      </c>
      <c r="E7" s="6" t="s">
        <v>24</v>
      </c>
      <c r="F7" s="6" t="s">
        <v>34</v>
      </c>
      <c r="G7" s="6" t="s">
        <v>35</v>
      </c>
      <c r="H7" s="8">
        <v>46210</v>
      </c>
      <c r="I7" s="6" t="s">
        <v>36</v>
      </c>
    </row>
    <row r="8" spans="1:9" ht="28">
      <c r="A8" s="4" t="inlineStr">
        <is>
          <t>DOC-0007</t>
        </is>
      </c>
      <c r="B8" s="4" t="s">
        <v>37</v>
      </c>
      <c r="C8" s="6" t="s">
        <v>143</v>
      </c>
      <c r="D8" s="6" t="s">
        <v>39</v>
      </c>
      <c r="E8" s="6" t="s">
        <v>40</v>
      </c>
      <c r="F8" s="6" t="s">
        <v>12</v>
      </c>
      <c r="G8" s="6" t="s">
        <v>20</v>
      </c>
      <c r="H8" s="8">
        <v>46217</v>
      </c>
      <c r="I8" s="6" t="s">
        <v>41</v>
      </c>
    </row>
    <row r="9" spans="1:9" ht="28">
      <c r="A9" s="4" t="inlineStr">
        <is>
          <t>DOC-0008</t>
        </is>
      </c>
      <c r="B9" s="4" t="s">
        <v>42</v>
      </c>
      <c r="C9" s="6" t="s">
        <v>143</v>
      </c>
      <c r="D9" s="6" t="s">
        <v>43</v>
      </c>
      <c r="E9" s="6" t="s">
        <v>24</v>
      </c>
      <c r="F9" s="6" t="s">
        <v>12</v>
      </c>
      <c r="G9" s="6" t="s">
        <v>35</v>
      </c>
      <c r="H9" s="8">
        <v>46224</v>
      </c>
      <c r="I9" s="6" t="s">
        <v>44</v>
      </c>
    </row>
    <row r="10" spans="1:9" ht="28">
      <c r="A10" s="4" t="inlineStr">
        <is>
          <t>DOC-0009</t>
        </is>
      </c>
      <c r="B10" s="4" t="s">
        <v>45</v>
      </c>
      <c r="C10" s="6" t="s">
        <v>9</v>
      </c>
      <c r="D10" s="6" t="s">
        <v>46</v>
      </c>
      <c r="E10" s="6" t="s">
        <v>47</v>
      </c>
      <c r="F10" s="6" t="s">
        <v>25</v>
      </c>
      <c r="G10" s="6" t="s">
        <v>26</v>
      </c>
      <c r="H10" s="8">
        <v>46230</v>
      </c>
      <c r="I10" s="6" t="s">
        <v>48</v>
      </c>
    </row>
    <row r="11" spans="1:9" ht="28">
      <c r="A11" s="4" t="inlineStr">
        <is>
          <t>DOC-0010</t>
        </is>
      </c>
      <c r="B11" s="4" t="s">
        <v>49</v>
      </c>
      <c r="C11" s="6" t="s">
        <v>142</v>
      </c>
      <c r="D11" s="6" t="s">
        <v>50</v>
      </c>
      <c r="E11" s="6" t="s">
        <v>51</v>
      </c>
      <c r="F11" s="6" t="s">
        <v>12</v>
      </c>
      <c r="G11" s="6" t="s">
        <v>13</v>
      </c>
      <c r="H11" s="8">
        <v>46237</v>
      </c>
      <c r="I11" s="6" t="s">
        <v>52</v>
      </c>
    </row>
    <row r="12" spans="1:9" ht="28">
      <c r="A12" s="4" t="inlineStr">
        <is>
          <t>DOC-0011</t>
        </is>
      </c>
      <c r="B12" s="4" t="s">
        <v>53</v>
      </c>
      <c r="C12" s="6" t="s">
        <v>9</v>
      </c>
      <c r="D12" s="6" t="s">
        <v>54</v>
      </c>
      <c r="E12" s="6" t="s">
        <v>24</v>
      </c>
      <c r="F12" s="6" t="s">
        <v>12</v>
      </c>
      <c r="G12" s="6" t="s">
        <v>13</v>
      </c>
      <c r="H12" s="8">
        <v>46245</v>
      </c>
      <c r="I12" s="6" t="s">
        <v>55</v>
      </c>
    </row>
    <row r="13" spans="1:9" ht="28">
      <c r="A13" s="4" t="inlineStr">
        <is>
          <t>DOC-0012</t>
        </is>
      </c>
      <c r="B13" s="4" t="s">
        <v>56</v>
      </c>
      <c r="C13" s="6" t="s">
        <v>143</v>
      </c>
      <c r="D13" s="6" t="s">
        <v>57</v>
      </c>
      <c r="E13" s="6" t="s">
        <v>58</v>
      </c>
      <c r="F13" s="6" t="s">
        <v>25</v>
      </c>
      <c r="G13" s="6" t="s">
        <v>20</v>
      </c>
      <c r="H13" s="8">
        <v>46251</v>
      </c>
      <c r="I13" s="6" t="s">
        <v>59</v>
      </c>
    </row>
    <row r="14" spans="1:9" ht="28">
      <c r="A14" s="4" t="inlineStr">
        <is>
          <t>DOC-0013</t>
        </is>
      </c>
      <c r="B14" s="4" t="s">
        <v>60</v>
      </c>
      <c r="C14" s="6" t="s">
        <v>32</v>
      </c>
      <c r="D14" s="6" t="s">
        <v>61</v>
      </c>
      <c r="E14" s="6" t="s">
        <v>19</v>
      </c>
      <c r="F14" s="6" t="s">
        <v>12</v>
      </c>
      <c r="G14" s="6" t="s">
        <v>13</v>
      </c>
      <c r="H14" s="8">
        <v>46259</v>
      </c>
      <c r="I14" s="6" t="s">
        <v>62</v>
      </c>
    </row>
    <row r="15" spans="1:9" ht="28">
      <c r="A15" s="4" t="inlineStr">
        <is>
          <t>DOC-0014</t>
        </is>
      </c>
      <c r="B15" s="4" t="s">
        <v>63</v>
      </c>
      <c r="C15" s="6" t="s">
        <v>64</v>
      </c>
      <c r="D15" s="6" t="s">
        <v>65</v>
      </c>
      <c r="E15" s="6" t="s">
        <v>24</v>
      </c>
      <c r="F15" s="6" t="s">
        <v>12</v>
      </c>
      <c r="G15" s="6" t="s">
        <v>13</v>
      </c>
      <c r="H15" s="8">
        <v>46266</v>
      </c>
      <c r="I15" s="6" t="s">
        <v>66</v>
      </c>
    </row>
    <row r="16" spans="1:9" ht="28">
      <c r="A16" s="4" t="inlineStr">
        <is>
          <t>DOC-0015</t>
        </is>
      </c>
      <c r="B16" s="4" t="s">
        <v>67</v>
      </c>
      <c r="C16" s="6" t="s">
        <v>9</v>
      </c>
      <c r="D16" s="6" t="s">
        <v>68</v>
      </c>
      <c r="E16" s="6" t="s">
        <v>69</v>
      </c>
      <c r="F16" s="6" t="s">
        <v>70</v>
      </c>
      <c r="G16" s="6" t="s">
        <v>35</v>
      </c>
      <c r="H16" s="8">
        <v>46273</v>
      </c>
      <c r="I16" s="6" t="s">
        <v>71</v>
      </c>
    </row>
    <row r="17" spans="1:9" ht="28">
      <c r="A17" s="4" t="inlineStr">
        <is>
          <t>DOC-0016</t>
        </is>
      </c>
      <c r="B17" s="4" t="s">
        <v>72</v>
      </c>
      <c r="C17" s="6" t="s">
        <v>142</v>
      </c>
      <c r="D17" s="6" t="s">
        <v>73</v>
      </c>
      <c r="E17" s="6" t="s">
        <v>40</v>
      </c>
      <c r="F17" s="6" t="s">
        <v>12</v>
      </c>
      <c r="G17" s="6" t="s">
        <v>20</v>
      </c>
      <c r="H17" s="8">
        <v>46281</v>
      </c>
      <c r="I17" s="6" t="s">
        <v>74</v>
      </c>
    </row>
    <row r="18" spans="1:9" ht="28">
      <c r="A18" s="4" t="inlineStr">
        <is>
          <t>DOC-0017</t>
        </is>
      </c>
      <c r="B18" s="4" t="s">
        <v>75</v>
      </c>
      <c r="C18" s="6" t="s">
        <v>143</v>
      </c>
      <c r="D18" s="6" t="s">
        <v>76</v>
      </c>
      <c r="E18" s="6" t="s">
        <v>24</v>
      </c>
      <c r="F18" s="6" t="s">
        <v>25</v>
      </c>
      <c r="G18" s="6" t="s">
        <v>26</v>
      </c>
      <c r="H18" s="8">
        <v>46288</v>
      </c>
      <c r="I18" s="6" t="s">
        <v>77</v>
      </c>
    </row>
    <row r="19" spans="1:9" ht="28">
      <c r="A19" s="4" t="inlineStr">
        <is>
          <t>DOC-0018</t>
        </is>
      </c>
      <c r="B19" s="4" t="s">
        <v>78</v>
      </c>
      <c r="C19" s="6" t="s">
        <v>32</v>
      </c>
      <c r="D19" s="6" t="s">
        <v>79</v>
      </c>
      <c r="E19" s="6" t="s">
        <v>51</v>
      </c>
      <c r="F19" s="6" t="s">
        <v>12</v>
      </c>
      <c r="G19" s="6" t="s">
        <v>13</v>
      </c>
      <c r="H19" s="8">
        <v>46295</v>
      </c>
      <c r="I19" s="6" t="s">
        <v>80</v>
      </c>
    </row>
    <row r="20" spans="1:9" ht="28">
      <c r="A20" s="4" t="inlineStr">
        <is>
          <t>DOC-0019</t>
        </is>
      </c>
      <c r="B20" s="4" t="s">
        <v>81</v>
      </c>
      <c r="C20" s="6" t="s">
        <v>64</v>
      </c>
      <c r="D20" s="6" t="s">
        <v>82</v>
      </c>
      <c r="E20" s="6" t="s">
        <v>47</v>
      </c>
      <c r="F20" s="6" t="s">
        <v>12</v>
      </c>
      <c r="G20" s="6" t="s">
        <v>20</v>
      </c>
      <c r="H20" s="8">
        <v>46302</v>
      </c>
      <c r="I20" s="6" t="s">
        <v>83</v>
      </c>
    </row>
    <row r="21" spans="1:9" ht="28">
      <c r="A21" s="4" t="inlineStr">
        <is>
          <t>DOC-0020</t>
        </is>
      </c>
      <c r="B21" s="4" t="s">
        <v>84</v>
      </c>
      <c r="C21" s="6" t="s">
        <v>9</v>
      </c>
      <c r="D21" s="6" t="s">
        <v>85</v>
      </c>
      <c r="E21" s="6" t="s">
        <v>24</v>
      </c>
      <c r="F21" s="6" t="s">
        <v>12</v>
      </c>
      <c r="G21" s="6" t="s">
        <v>13</v>
      </c>
      <c r="H21" s="8">
        <v>46309</v>
      </c>
      <c r="I21" s="6" t="s">
        <v>86</v>
      </c>
    </row>
    <row r="22" spans="1:9" ht="28">
      <c r="A22" s="4" t="inlineStr">
        <is>
          <t>DOC-0021</t>
        </is>
      </c>
      <c r="B22" s="4" t="s">
        <v>87</v>
      </c>
      <c r="C22" s="6" t="s">
        <v>142</v>
      </c>
      <c r="D22" s="6" t="s">
        <v>88</v>
      </c>
      <c r="E22" s="6" t="s">
        <v>19</v>
      </c>
      <c r="F22" s="6" t="s">
        <v>25</v>
      </c>
      <c r="G22" s="6" t="s">
        <v>26</v>
      </c>
      <c r="H22" s="8">
        <v>46316</v>
      </c>
      <c r="I22" s="6" t="s">
        <v>89</v>
      </c>
    </row>
    <row r="23" spans="1:9" ht="28">
      <c r="A23" s="4" t="inlineStr">
        <is>
          <t>DOC-0022</t>
        </is>
      </c>
      <c r="B23" s="4" t="s">
        <v>90</v>
      </c>
      <c r="C23" s="6" t="s">
        <v>143</v>
      </c>
      <c r="D23" s="6" t="s">
        <v>91</v>
      </c>
      <c r="E23" s="6" t="s">
        <v>24</v>
      </c>
      <c r="F23" s="6" t="s">
        <v>12</v>
      </c>
      <c r="G23" s="6" t="s">
        <v>13</v>
      </c>
      <c r="H23" s="8">
        <v>46323</v>
      </c>
      <c r="I23" s="6" t="s">
        <v>92</v>
      </c>
    </row>
    <row r="24" spans="1:9" ht="28">
      <c r="A24" s="4" t="inlineStr">
        <is>
          <t>DOC-0023</t>
        </is>
      </c>
      <c r="B24" s="4" t="s">
        <v>93</v>
      </c>
      <c r="C24" s="6" t="s">
        <v>32</v>
      </c>
      <c r="D24" s="6" t="s">
        <v>94</v>
      </c>
      <c r="E24" s="6" t="s">
        <v>40</v>
      </c>
      <c r="F24" s="6" t="s">
        <v>34</v>
      </c>
      <c r="G24" s="6" t="s">
        <v>35</v>
      </c>
      <c r="H24" s="8">
        <v>46330</v>
      </c>
      <c r="I24" s="6" t="s">
        <v>95</v>
      </c>
    </row>
    <row r="25" spans="1:9" ht="28">
      <c r="A25" s="4" t="inlineStr">
        <is>
          <t>DOC-0024</t>
        </is>
      </c>
      <c r="B25" s="4" t="s">
        <v>96</v>
      </c>
      <c r="C25" s="6" t="s">
        <v>64</v>
      </c>
      <c r="D25" s="6" t="s">
        <v>97</v>
      </c>
      <c r="E25" s="6" t="s">
        <v>51</v>
      </c>
      <c r="F25" s="6" t="s">
        <v>12</v>
      </c>
      <c r="G25" s="6" t="s">
        <v>13</v>
      </c>
      <c r="H25" s="8">
        <v>46337</v>
      </c>
      <c r="I25" s="6" t="s">
        <v>98</v>
      </c>
    </row>
    <row r="26" spans="1:9" ht="28">
      <c r="A26" s="4" t="inlineStr">
        <is>
          <t>DOC-0025</t>
        </is>
      </c>
      <c r="B26" s="4" t="s">
        <v>99</v>
      </c>
      <c r="C26" s="6" t="s">
        <v>9</v>
      </c>
      <c r="D26" s="6" t="s">
        <v>100</v>
      </c>
      <c r="E26" s="6" t="s">
        <v>11</v>
      </c>
      <c r="F26" s="6" t="s">
        <v>12</v>
      </c>
      <c r="G26" s="6" t="s">
        <v>20</v>
      </c>
      <c r="H26" s="8">
        <v>46344</v>
      </c>
      <c r="I26" s="6" t="s">
        <v>101</v>
      </c>
    </row>
    <row r="27" spans="1:9" ht="28">
      <c r="A27" s="4" t="inlineStr">
        <is>
          <t>DOC-0026</t>
        </is>
      </c>
      <c r="B27" s="4" t="s">
        <v>102</v>
      </c>
      <c r="C27" s="6" t="s">
        <v>142</v>
      </c>
      <c r="D27" s="6" t="s">
        <v>103</v>
      </c>
      <c r="E27" s="6" t="s">
        <v>69</v>
      </c>
      <c r="F27" s="6" t="s">
        <v>70</v>
      </c>
      <c r="G27" s="6" t="s">
        <v>35</v>
      </c>
      <c r="H27" s="8">
        <v>46351</v>
      </c>
      <c r="I27" s="6" t="s">
        <v>104</v>
      </c>
    </row>
    <row r="28" spans="1:9" ht="28">
      <c r="A28" s="4" t="inlineStr">
        <is>
          <t>DOC-0027</t>
        </is>
      </c>
      <c r="B28" s="4" t="s">
        <v>105</v>
      </c>
      <c r="C28" s="6" t="s">
        <v>143</v>
      </c>
      <c r="D28" s="6" t="s">
        <v>106</v>
      </c>
      <c r="E28" s="6" t="s">
        <v>58</v>
      </c>
      <c r="F28" s="6" t="s">
        <v>12</v>
      </c>
      <c r="G28" s="6" t="s">
        <v>13</v>
      </c>
      <c r="H28" s="8">
        <v>46358</v>
      </c>
      <c r="I28" s="6" t="s">
        <v>107</v>
      </c>
    </row>
    <row r="29" spans="1:9" ht="28">
      <c r="A29" s="4" t="inlineStr">
        <is>
          <t>DOC-0028</t>
        </is>
      </c>
      <c r="B29" s="4" t="s">
        <v>108</v>
      </c>
      <c r="C29" s="6" t="s">
        <v>32</v>
      </c>
      <c r="D29" s="6" t="s">
        <v>79</v>
      </c>
      <c r="E29" s="6" t="s">
        <v>24</v>
      </c>
      <c r="F29" s="6" t="s">
        <v>25</v>
      </c>
      <c r="G29" s="6" t="s">
        <v>26</v>
      </c>
      <c r="H29" s="8">
        <v>46365</v>
      </c>
      <c r="I29" s="6" t="s">
        <v>109</v>
      </c>
    </row>
    <row r="30" spans="1:9" ht="28">
      <c r="A30" s="4" t="inlineStr">
        <is>
          <t>DOC-0029</t>
        </is>
      </c>
      <c r="B30" s="4" t="s">
        <v>110</v>
      </c>
      <c r="C30" s="6" t="s">
        <v>64</v>
      </c>
      <c r="D30" s="6" t="s">
        <v>111</v>
      </c>
      <c r="E30" s="6" t="s">
        <v>19</v>
      </c>
      <c r="F30" s="6" t="s">
        <v>12</v>
      </c>
      <c r="G30" s="6" t="s">
        <v>13</v>
      </c>
      <c r="H30" s="8">
        <v>46372</v>
      </c>
      <c r="I30" s="6" t="s">
        <v>112</v>
      </c>
    </row>
    <row r="31" spans="1:9" ht="28">
      <c r="A31" s="5" t="inlineStr">
        <is>
          <t>DOC-0030</t>
        </is>
      </c>
      <c r="B31" s="5" t="s">
        <v>113</v>
      </c>
      <c r="C31" s="7" t="s">
        <v>9</v>
      </c>
      <c r="D31" s="7" t="s">
        <v>114</v>
      </c>
      <c r="E31" s="7" t="s">
        <v>24</v>
      </c>
      <c r="F31" s="7" t="s">
        <v>12</v>
      </c>
      <c r="G31" s="7" t="s">
        <v>20</v>
      </c>
      <c r="H31" s="9">
        <v>46379</v>
      </c>
      <c r="I31" s="7" t="s">
        <v>115</v>
      </c>
    </row>
    <row r="32" spans="1:9">
      <c r="H32" s="10"/>
    </row>
    <row r="33" spans="8:8">
      <c r="H33" s="10"/>
    </row>
    <row r="34" spans="8:8">
      <c r="H34" s="10"/>
    </row>
    <row r="35" spans="8:8">
      <c r="H35" s="10"/>
    </row>
    <row r="36" spans="8:8">
      <c r="H36" s="10"/>
    </row>
    <row r="37" spans="8:8">
      <c r="H37" s="10"/>
    </row>
    <row r="38" spans="8:8">
      <c r="H38" s="10"/>
    </row>
    <row r="39" spans="8:8">
      <c r="H39" s="10"/>
    </row>
    <row r="40" spans="8:8">
      <c r="H40" s="10"/>
    </row>
    <row r="41" spans="8:8">
      <c r="H41" s="10"/>
    </row>
    <row r="42" spans="8:8">
      <c r="H42" s="10"/>
    </row>
    <row r="43" spans="8:8">
      <c r="H43" s="10"/>
    </row>
    <row r="44" spans="8:8">
      <c r="H44" s="10"/>
    </row>
    <row r="45" spans="8:8">
      <c r="H45" s="10"/>
    </row>
    <row r="46" spans="8:8">
      <c r="H46" s="10"/>
    </row>
    <row r="47" spans="8:8">
      <c r="H47" s="10"/>
    </row>
    <row r="48" spans="8:8">
      <c r="H48" s="10"/>
    </row>
    <row r="49" spans="8:8">
      <c r="H49" s="10"/>
    </row>
    <row r="50" spans="8:8">
      <c r="H50" s="10"/>
    </row>
    <row r="51" spans="8:8">
      <c r="H51" s="10"/>
    </row>
    <row r="52" spans="8:8">
      <c r="H52" s="10"/>
    </row>
    <row r="53" spans="8:8">
      <c r="H53" s="10"/>
    </row>
    <row r="54" spans="8:8">
      <c r="H54" s="10"/>
    </row>
    <row r="55" spans="8:8">
      <c r="H55" s="10"/>
    </row>
    <row r="56" spans="8:8">
      <c r="H56" s="10"/>
    </row>
    <row r="57" spans="8:8">
      <c r="H57" s="10"/>
    </row>
    <row r="58" spans="8:8">
      <c r="H58" s="10"/>
    </row>
    <row r="59" spans="8:8">
      <c r="H59" s="10"/>
    </row>
    <row r="60" spans="8:8">
      <c r="H60" s="10"/>
    </row>
    <row r="61" spans="8:8">
      <c r="H61" s="10"/>
    </row>
    <row r="62" spans="8:8">
      <c r="H62" s="10"/>
    </row>
    <row r="63" spans="8:8">
      <c r="H63" s="10"/>
    </row>
    <row r="64" spans="8:8">
      <c r="H64" s="10"/>
    </row>
    <row r="65" spans="8:8">
      <c r="H65" s="10"/>
    </row>
    <row r="66" spans="8:8">
      <c r="H66" s="10"/>
    </row>
    <row r="67" spans="8:8">
      <c r="H67" s="10"/>
    </row>
    <row r="68" spans="8:8">
      <c r="H68" s="10"/>
    </row>
    <row r="69" spans="8:8">
      <c r="H69" s="10"/>
    </row>
    <row r="70" spans="8:8">
      <c r="H70" s="10"/>
    </row>
    <row r="71" spans="8:8">
      <c r="H71" s="10"/>
    </row>
    <row r="72" spans="8:8">
      <c r="H72" s="10"/>
    </row>
    <row r="73" spans="8:8">
      <c r="H73" s="10"/>
    </row>
    <row r="74" spans="8:8">
      <c r="H74" s="10"/>
    </row>
    <row r="75" spans="8:8">
      <c r="H75" s="10"/>
    </row>
    <row r="76" spans="8:8">
      <c r="H76" s="10"/>
    </row>
    <row r="77" spans="8:8">
      <c r="H77" s="10"/>
    </row>
    <row r="78" spans="8:8">
      <c r="H78" s="10"/>
    </row>
    <row r="79" spans="8:8">
      <c r="H79" s="10"/>
    </row>
    <row r="80" spans="8:8">
      <c r="H80" s="10"/>
    </row>
    <row r="81" spans="8:8">
      <c r="H81" s="10"/>
    </row>
    <row r="82" spans="8:8">
      <c r="H82" s="10"/>
    </row>
    <row r="83" spans="8:8">
      <c r="H83" s="10"/>
    </row>
    <row r="84" spans="8:8">
      <c r="H84" s="10"/>
    </row>
    <row r="85" spans="8:8">
      <c r="H85" s="10"/>
    </row>
    <row r="86" spans="8:8">
      <c r="H86" s="10"/>
    </row>
    <row r="87" spans="8:8">
      <c r="H87" s="10"/>
    </row>
    <row r="88" spans="8:8">
      <c r="H88" s="10"/>
    </row>
    <row r="89" spans="8:8">
      <c r="H89" s="10"/>
    </row>
    <row r="90" spans="8:8">
      <c r="H90" s="10"/>
    </row>
    <row r="91" spans="8:8">
      <c r="H91" s="10"/>
    </row>
    <row r="92" spans="8:8">
      <c r="H92" s="10"/>
    </row>
    <row r="93" spans="8:8">
      <c r="H93" s="10"/>
    </row>
    <row r="94" spans="8:8">
      <c r="H94" s="10"/>
    </row>
    <row r="95" spans="8:8">
      <c r="H95" s="10"/>
    </row>
    <row r="96" spans="8:8">
      <c r="H96" s="10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</sheetData>
  <conditionalFormatting sqref="F2:F200">
    <cfRule type="expression" dxfId="8" priority="1">
      <formula>F2="Accepted"</formula>
    </cfRule>
    <cfRule type="expression" dxfId="7" priority="2">
      <formula>F2="Pending Review"</formula>
    </cfRule>
    <cfRule type="expression" dxfId="6" priority="3">
      <formula>F2="Rejected"</formula>
    </cfRule>
    <cfRule type="expression" dxfId="5" priority="4">
      <formula>F2="Missing"</formula>
    </cfRule>
  </conditionalFormatting>
  <conditionalFormatting sqref="G2:G200">
    <cfRule type="expression" dxfId="4" priority="5">
      <formula>G2="Compliant"</formula>
    </cfRule>
    <cfRule type="expression" dxfId="3" priority="6">
      <formula>G2="Partially compliant"</formula>
    </cfRule>
    <cfRule type="expression" dxfId="2" priority="7">
      <formula>G2="Non-compliant"</formula>
    </cfRule>
    <cfRule type="expression" dxfId="1" priority="8">
      <formula>G2="Not assessed"</formula>
    </cfRule>
  </conditionalFormatting>
  <conditionalFormatting sqref="H2:H200">
    <cfRule type="expression" dxfId="0" priority="9">
      <formula>AND(H2&lt;TODAY(),H2&lt;&gt;"")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000-000000000000}">
          <x14:formula1>
            <xm:f>Reference!$A$2:$A$6</xm:f>
          </x14:formula1>
          <xm:sqref>C2:C200</xm:sqref>
        </x14:dataValidation>
        <x14:dataValidation type="list" xr:uid="{00000000-0002-0000-0000-000001000000}">
          <x14:formula1>
            <xm:f>Reference!$D$2:$D$9</xm:f>
          </x14:formula1>
          <xm:sqref>E2:E200</xm:sqref>
        </x14:dataValidation>
        <x14:dataValidation type="list" xr:uid="{00000000-0002-0000-0000-000002000000}">
          <x14:formula1>
            <xm:f>Reference!$B$2:$B$5</xm:f>
          </x14:formula1>
          <xm:sqref>F2:F200</xm:sqref>
        </x14:dataValidation>
        <x14:dataValidation type="list" xr:uid="{00000000-0002-0000-0000-000003000000}">
          <x14:formula1>
            <xm:f>Reference!$C$2:$C$5</xm:f>
          </x14:formula1>
          <xm:sqref>G2:G200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/>
  </sheetViews>
  <sheetFormatPr defaultRowHeight="14"/>
  <cols>
    <col min="1" max="4" width="24" customWidth="1"/>
  </cols>
  <sheetData>
    <row r="1" spans="1:4">
      <c r="A1" s="1" t="s">
        <v>1</v>
      </c>
      <c r="B1" s="1" t="s">
        <v>4</v>
      </c>
      <c r="C1" s="1" t="s">
        <v>5</v>
      </c>
      <c r="D1" s="1" t="s">
        <v>3</v>
      </c>
    </row>
    <row r="2" spans="1:4">
      <c r="A2" t="s">
        <v>9</v>
      </c>
      <c r="B2" t="s">
        <v>12</v>
      </c>
      <c r="C2" t="s">
        <v>13</v>
      </c>
      <c r="D2" t="s">
        <v>11</v>
      </c>
    </row>
    <row r="3" spans="1:4">
      <c r="A3" t="s">
        <v>16</v>
      </c>
      <c r="B3" t="s">
        <v>25</v>
      </c>
      <c r="C3" t="s">
        <v>20</v>
      </c>
      <c r="D3" t="s">
        <v>19</v>
      </c>
    </row>
    <row r="4" spans="1:4">
      <c r="A4" t="s">
        <v>38</v>
      </c>
      <c r="B4" t="s">
        <v>70</v>
      </c>
      <c r="C4" t="s">
        <v>35</v>
      </c>
      <c r="D4" t="s">
        <v>24</v>
      </c>
    </row>
    <row r="5" spans="1:4">
      <c r="A5" t="s">
        <v>32</v>
      </c>
      <c r="B5" t="s">
        <v>34</v>
      </c>
      <c r="C5" t="s">
        <v>26</v>
      </c>
      <c r="D5" t="s">
        <v>40</v>
      </c>
    </row>
    <row r="6" spans="1:4">
      <c r="A6" t="s">
        <v>64</v>
      </c>
      <c r="D6" t="s">
        <v>51</v>
      </c>
    </row>
    <row r="7" spans="1:4">
      <c r="D7" t="s">
        <v>47</v>
      </c>
    </row>
    <row r="8" spans="1:4">
      <c r="D8" t="s">
        <v>69</v>
      </c>
    </row>
    <row r="9" spans="1:4">
      <c r="D9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/>
  </sheetViews>
  <sheetFormatPr defaultRowHeight="14"/>
  <cols>
    <col min="1" max="1" width="24" customWidth="1"/>
    <col min="2" max="2" width="14" customWidth="1"/>
    <col min="4" max="4" width="24" customWidth="1"/>
    <col min="5" max="5" width="12" customWidth="1"/>
  </cols>
  <sheetData>
    <row r="1" spans="1:6" ht="22.65" customHeight="1">
      <c r="A1" s="18" t="s">
        <v>116</v>
      </c>
      <c r="B1" s="18"/>
      <c r="C1" s="18"/>
      <c r="D1" s="18"/>
      <c r="E1" s="18"/>
      <c r="F1" s="18"/>
    </row>
    <row r="3" spans="1:6">
      <c r="A3" s="11" t="s">
        <v>117</v>
      </c>
      <c r="B3" s="12" t="s">
        <v>118</v>
      </c>
      <c r="D3" s="11" t="s">
        <v>5</v>
      </c>
      <c r="E3" s="12" t="s">
        <v>119</v>
      </c>
    </row>
    <row r="4" spans="1:6">
      <c r="A4" s="13" t="s">
        <v>120</v>
      </c>
      <c r="B4" s="14">
        <f>COUNTA(Evidence_Data!B2:B200)</f>
        <v>30</v>
      </c>
      <c r="D4" s="13" t="s">
        <v>13</v>
      </c>
      <c r="E4" s="14">
        <f>COUNTIF(Evidence_Data!G2:G200,D4)</f>
        <v>13</v>
      </c>
    </row>
    <row r="5" spans="1:6">
      <c r="A5" s="13" t="s">
        <v>12</v>
      </c>
      <c r="B5" s="14">
        <f>COUNTIF(Evidence_Data!F2:F200,"Accepted")</f>
        <v>20</v>
      </c>
      <c r="D5" s="13" t="s">
        <v>20</v>
      </c>
      <c r="E5" s="14">
        <f>COUNTIF(Evidence_Data!G3:G201,D5)</f>
        <v>7</v>
      </c>
    </row>
    <row r="6" spans="1:6">
      <c r="A6" s="13" t="s">
        <v>25</v>
      </c>
      <c r="B6" s="14">
        <f>COUNTIF(Evidence_Data!F2:F200,"Pending Review")</f>
        <v>6</v>
      </c>
      <c r="D6" s="13" t="s">
        <v>35</v>
      </c>
      <c r="E6" s="14">
        <f>COUNTIF(Evidence_Data!G4:G202,D6)</f>
        <v>5</v>
      </c>
    </row>
    <row r="7" spans="1:6">
      <c r="A7" s="13" t="s">
        <v>13</v>
      </c>
      <c r="B7" s="14">
        <f>COUNTIF(Evidence_Data!G2:G200,"Compliant")</f>
        <v>13</v>
      </c>
      <c r="D7" s="15" t="s">
        <v>26</v>
      </c>
      <c r="E7" s="16">
        <f>COUNTIF(Evidence_Data!G5:G203,D7)</f>
        <v>5</v>
      </c>
    </row>
    <row r="8" spans="1:6">
      <c r="A8" s="15" t="s">
        <v>20</v>
      </c>
      <c r="B8" s="16">
        <f>COUNTIF(Evidence_Data!G2:G200,"Partially compliant")</f>
        <v>7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workbookViewId="0"/>
  </sheetViews>
  <sheetFormatPr defaultRowHeight="14"/>
  <cols>
    <col min="1" max="2" width="23" customWidth="1"/>
    <col min="3" max="3" width="24" customWidth="1"/>
    <col min="4" max="4" width="52" customWidth="1"/>
  </cols>
  <sheetData>
    <row r="1" spans="1:4">
      <c r="A1" s="17" t="s">
        <v>121</v>
      </c>
      <c r="B1" s="17" t="s">
        <v>122</v>
      </c>
      <c r="C1" s="17" t="s">
        <v>123</v>
      </c>
      <c r="D1" s="17" t="s">
        <v>124</v>
      </c>
    </row>
    <row r="2" spans="1:4">
      <c r="A2" s="3" t="inlineStr">
        <is>
          <t>Document ID</t>
        </is>
      </c>
      <c r="B2" s="3" t="inlineStr">
        <is>
          <t>documentId</t>
        </is>
      </c>
      <c r="C2" s="3" t="inlineStr">
        <is>
          <t>Document ID</t>
        </is>
      </c>
      <c r="D2" s="3" t="inlineStr">
        <is>
          <t>Stable identifier for the evidence document/row.</t>
        </is>
      </c>
    </row>
    <row r="3" spans="1:4">
      <c r="A3" s="3" t="s">
        <v>0</v>
      </c>
      <c r="B3" s="3" t="s">
        <v>125</v>
      </c>
      <c r="C3" s="3" t="s">
        <v>0</v>
      </c>
      <c r="D3" s="3" t="s">
        <v>126</v>
      </c>
    </row>
    <row r="4" spans="1:4">
      <c r="A4" s="3" t="s">
        <v>1</v>
      </c>
      <c r="B4" s="3" t="s">
        <v>127</v>
      </c>
      <c r="C4" s="3" t="s">
        <v>1</v>
      </c>
      <c r="D4" s="3" t="s">
        <v>128</v>
      </c>
    </row>
    <row r="5" spans="1:4">
      <c r="A5" s="3" t="s">
        <v>2</v>
      </c>
      <c r="B5" s="3" t="s">
        <v>129</v>
      </c>
      <c r="C5" s="3" t="s">
        <v>2</v>
      </c>
      <c r="D5" s="3" t="s">
        <v>130</v>
      </c>
    </row>
    <row r="6" spans="1:4">
      <c r="A6" s="3" t="s">
        <v>3</v>
      </c>
      <c r="B6" s="3" t="s">
        <v>131</v>
      </c>
      <c r="C6" s="3" t="s">
        <v>3</v>
      </c>
      <c r="D6" s="3" t="s">
        <v>132</v>
      </c>
    </row>
    <row r="7" spans="1:4">
      <c r="A7" s="3" t="s">
        <v>4</v>
      </c>
      <c r="B7" s="3" t="s">
        <v>133</v>
      </c>
      <c r="C7" s="3" t="s">
        <v>4</v>
      </c>
      <c r="D7" s="3" t="s">
        <v>134</v>
      </c>
    </row>
    <row r="8" spans="1:4" ht="28">
      <c r="A8" s="3" t="s">
        <v>5</v>
      </c>
      <c r="B8" s="3" t="s">
        <v>135</v>
      </c>
      <c r="C8" s="3" t="s">
        <v>5</v>
      </c>
      <c r="D8" s="3" t="s">
        <v>136</v>
      </c>
    </row>
    <row r="9" spans="1:4">
      <c r="A9" s="3" t="s">
        <v>6</v>
      </c>
      <c r="B9" s="3" t="s">
        <v>137</v>
      </c>
      <c r="C9" s="3" t="s">
        <v>6</v>
      </c>
      <c r="D9" s="3" t="s">
        <v>138</v>
      </c>
    </row>
    <row r="10" spans="1:4">
      <c r="A10" s="3" t="s">
        <v>7</v>
      </c>
      <c r="B10" s="3" t="s">
        <v>139</v>
      </c>
      <c r="C10" s="3" t="s">
        <v>140</v>
      </c>
      <c r="D10" s="3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Evidence_Data</vt:lpstr>
      <vt:lpstr>Reference</vt:lpstr>
      <vt:lpstr>Summary</vt:lpstr>
      <vt:lpstr>Backend_Mapping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Nevan Nabiil</dc:creator>
  <cp:lastModifiedBy>Nevan Nabiil</cp:lastModifiedBy>
  <dcterms:created xsi:type="dcterms:W3CDTF">2026-08-06T07:45:54Z</dcterms:created>
  <dcterms:modified xsi:type="dcterms:W3CDTF">2026-08-06T07:50:38Z</dcterms:modified>
</cp:coreProperties>
</file>